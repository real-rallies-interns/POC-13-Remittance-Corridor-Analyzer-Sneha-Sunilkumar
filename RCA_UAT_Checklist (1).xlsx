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068"/>
  </bookViews>
  <sheets>
    <sheet name="UAT Checklist" sheetId="1" r:id="rId1"/>
    <sheet name="Summary" sheetId="2" r:id="rId2"/>
    <sheet name="VAR Reference" sheetId="3" r:id="rId3"/>
  </sheets>
  <calcPr calcId="152511"/>
</workbook>
</file>

<file path=xl/calcChain.xml><?xml version="1.0" encoding="utf-8"?>
<calcChain xmlns="http://schemas.openxmlformats.org/spreadsheetml/2006/main">
  <c r="B11" i="2" l="1"/>
  <c r="B10" i="2"/>
  <c r="B9" i="2"/>
  <c r="B8" i="2"/>
</calcChain>
</file>

<file path=xl/sharedStrings.xml><?xml version="1.0" encoding="utf-8"?>
<sst xmlns="http://schemas.openxmlformats.org/spreadsheetml/2006/main" count="554" uniqueCount="349">
  <si>
    <t>REAL RAILS — REMITTANCE CORRIDOR ANALYZER  |  UAT CHECKLIST  |  v3.1 — 15 CORRIDORS</t>
  </si>
  <si>
    <t>PoC ID: 13</t>
  </si>
  <si>
    <t>Rail: Payments</t>
  </si>
  <si>
    <t>Format: Episode + LinkedIn</t>
  </si>
  <si>
    <t>Auditor: ______________</t>
  </si>
  <si>
    <t>Date: ______________</t>
  </si>
  <si>
    <t>Build Version: ______________</t>
  </si>
  <si>
    <t>ID</t>
  </si>
  <si>
    <t>CATEGORY</t>
  </si>
  <si>
    <t>TEST CASE</t>
  </si>
  <si>
    <t>STEPS TO TEST</t>
  </si>
  <si>
    <t>EXPECTED RESULT</t>
  </si>
  <si>
    <t>PRIORITY</t>
  </si>
  <si>
    <t>PASS / FAIL</t>
  </si>
  <si>
    <t>TESTER NOTES</t>
  </si>
  <si>
    <t>TESTED BY</t>
  </si>
  <si>
    <t>DATE</t>
  </si>
  <si>
    <t>A-01</t>
  </si>
  <si>
    <t>Visual DNA</t>
  </si>
  <si>
    <t>Background is #030712 Obsidian Black</t>
  </si>
  <si>
    <t>1. Open dashboard
2. Inspect root element background colour</t>
  </si>
  <si>
    <t>Root div and all panels render with #030712 background. No white or grey backgrounds visible.</t>
  </si>
  <si>
    <t>Critical</t>
  </si>
  <si>
    <t>A-02</t>
  </si>
  <si>
    <t>70/30 layout split is enforced</t>
  </si>
  <si>
    <t>1. Open dashboard at 1440px viewport
2. Measure main stage vs sidebar pixel widths</t>
  </si>
  <si>
    <t>Main stage occupies ~70% of viewport. Sidebar occupies ~30%. Ratio holds at 1280px and 1440px.</t>
  </si>
  <si>
    <t>A-03</t>
  </si>
  <si>
    <t>Top header bar renders correctly</t>
  </si>
  <si>
    <t>1. Check header: pulsing dot, project name, rail badge, data source badge</t>
  </si>
  <si>
    <t>Header shows: cyan pulsing dot, 'Remittance Corridor Analyzer', 'PAYMENT RAIL · ID 13' badge, LIVE or MOCK data badge.</t>
  </si>
  <si>
    <t>A-04</t>
  </si>
  <si>
    <t>Font stack: Space Grotesk + IBM Plex Mono</t>
  </si>
  <si>
    <t>1. Inspect body font in DevTools
2. Check label/mono elements</t>
  </si>
  <si>
    <t>Body text renders in Space Grotesk. Labels, codes, and mono elements render in IBM Plex Mono.</t>
  </si>
  <si>
    <t>High</t>
  </si>
  <si>
    <t>A-05</t>
  </si>
  <si>
    <t>Cyan (#38BDF8) used for primary accents</t>
  </si>
  <si>
    <t>1. Check selected corridor arc, active sidebar stats, header dot</t>
  </si>
  <si>
    <t>Primary interactive and highlight elements use #38BDF8. No blue or teal substitutes.</t>
  </si>
  <si>
    <t>A-06</t>
  </si>
  <si>
    <t>Indigo (#818CF8) used for badges and secondary elements</t>
  </si>
  <si>
    <t>1. Check PoC ID badge, section labels, secondary stats</t>
  </si>
  <si>
    <t>Secondary badges and labels render in #818CF8 indigo.</t>
  </si>
  <si>
    <t>Medium</t>
  </si>
  <si>
    <t>A-07</t>
  </si>
  <si>
    <t>No light-mode leakage</t>
  </si>
  <si>
    <t>1. Scroll entire dashboard
2. Check all cards, tooltips, modals</t>
  </si>
  <si>
    <t>Zero white or light-grey backgrounds on any panel, card, or overlay. Full dark theme throughout.</t>
  </si>
  <si>
    <t>B-01</t>
  </si>
  <si>
    <t>Corridor Map</t>
  </si>
  <si>
    <t>World map renders on load</t>
  </si>
  <si>
    <t>1. Open dashboard
2. Observe main stage (70% area)</t>
  </si>
  <si>
    <t>Dark CartoDB basemap renders. No blank white map or error message. Map loads within 3 seconds.</t>
  </si>
  <si>
    <t>B-02</t>
  </si>
  <si>
    <t>Corridor polyline arcs appear on map</t>
  </si>
  <si>
    <t>1. After map loads, check for arc lines between countries</t>
  </si>
  <si>
    <t>At least 15 corridor arcs visible as dashed indigo lines between origin and destination countries.</t>
  </si>
  <si>
    <t>B-03</t>
  </si>
  <si>
    <t>Selected corridor highlights in cyan</t>
  </si>
  <si>
    <t>1. Click a corridor arc or tab
2. Observe arc colour change</t>
  </si>
  <si>
    <t>Selected corridor arc changes from indigo dashed to solid cyan. Other corridors remain indigo.</t>
  </si>
  <si>
    <t>B-04</t>
  </si>
  <si>
    <t>Map tooltip shows corridor metadata</t>
  </si>
  <si>
    <t>1. Hover over a corridor arc
2. Read tooltip content</t>
  </si>
  <si>
    <t>Tooltip shows: corridor label (e.g. US → MX), avg cost %, volume USD, speed days, channel split.</t>
  </si>
  <si>
    <t>B-05</t>
  </si>
  <si>
    <t>Origin marker is clickable</t>
  </si>
  <si>
    <t>1. Click the origin dot marker on the map</t>
  </si>
  <si>
    <t>Clicking origin marker selects that corridor. Sidebar updates with corridor data.</t>
  </si>
  <si>
    <t>B-06</t>
  </si>
  <si>
    <t>Map does not crash on hot-reload or tab switch</t>
  </si>
  <si>
    <t>1. Switch browser tabs
2. Return to dashboard
3. Reload page</t>
  </si>
  <si>
    <t>Map re-initialises cleanly. No 'Map container is already initialised' error in console.</t>
  </si>
  <si>
    <t>C-01</t>
  </si>
  <si>
    <t>Sidebar Handshake</t>
  </si>
  <si>
    <t>Clicking map populates sidebar with correct corridor data</t>
  </si>
  <si>
    <t>1. Click corridor US-MX on map
2. Read sidebar Section A stats</t>
  </si>
  <si>
    <t>Sidebar shows US → Mexico specific: volume, avg cost %, speed days, formal/informal split matching the clicked corridor.</t>
  </si>
  <si>
    <t>C-02</t>
  </si>
  <si>
    <t>Sidebar updates on every corridor change</t>
  </si>
  <si>
    <t>1. Click US-MX
2. Then click IN-US
3. Compare sidebar content</t>
  </si>
  <si>
    <t>Sidebar data changes completely between corridor selections. No stale data from previous corridor.</t>
  </si>
  <si>
    <t>C-03</t>
  </si>
  <si>
    <t>Default corridor pre-selected on load</t>
  </si>
  <si>
    <t>1. Open dashboard without clicking anything</t>
  </si>
  <si>
    <t>US-MX corridor is pre-selected. Sidebar shows US → Mexico data. Map arc is highlighted in cyan.</t>
  </si>
  <si>
    <t>C-04</t>
  </si>
  <si>
    <t>Provider list in sidebar matches selected corridor</t>
  </si>
  <si>
    <t>1. Select US-MX corridor
2. Check provider list
3. Select PH-US corridor
4. Check provider list</t>
  </si>
  <si>
    <t>Provider list changes per corridor. Each corridor shows unique providers from mock_data.json (corridor_id filtered). US-MX: Remitly/Wise/WU/Xoom. US-IN: Wise/Remitly/Xoom. UAE-PK: MoneyGram/WU/Wise. Costs differ per corridor.</t>
  </si>
  <si>
    <t>C-05</t>
  </si>
  <si>
    <t>Cost % in sidebar matches map tooltip</t>
  </si>
  <si>
    <t>1. Note avg_cost_pct from map tooltip for a corridor
2. Check same value in sidebar stat</t>
  </si>
  <si>
    <t>Sidebar avg cost % exactly matches the value shown in the map tooltip for the same corridor.</t>
  </si>
  <si>
    <t>C-06</t>
  </si>
  <si>
    <t>Volume figure in sidebar matches map tooltip</t>
  </si>
  <si>
    <t>1. Note volume from map tooltip
2. Check same value in sidebar</t>
  </si>
  <si>
    <t>Sidebar volume (USD bn) matches map tooltip volume for the same corridor. No rounding discrepancy &gt; 0.1.</t>
  </si>
  <si>
    <t>D-01</t>
  </si>
  <si>
    <t>Filter Logic</t>
  </si>
  <si>
    <t>Amount slider changes displayed cost calculation</t>
  </si>
  <si>
    <t>1. Set amount slider to $100
2. Read recipient amount
3. Set to $500
4. Read recipient amount</t>
  </si>
  <si>
    <t>Recipient amount updates dynamically. $100 at 6% cost = $94 equivalent (minus FX). $500 calculation differs proportionally.</t>
  </si>
  <si>
    <t>D-02</t>
  </si>
  <si>
    <t>Formal channel filter shows only formal flows</t>
  </si>
  <si>
    <t>1. Set channel toggle to 'Formal'
2. Check timeline chart and volume stats</t>
  </si>
  <si>
    <t>Timeline and volume stats update to show formal channel only. Informal flows removed from chart. Stats recalculate.</t>
  </si>
  <si>
    <t>D-03</t>
  </si>
  <si>
    <t>Informal channel filter shows only informal flows</t>
  </si>
  <si>
    <t>1. Set channel toggle to 'Informal'
2. Check timeline chart and volume stats</t>
  </si>
  <si>
    <t>Timeline shows informal channel only. Volume drops (informal is subset of total). Stats recalculate.</t>
  </si>
  <si>
    <t>D-04</t>
  </si>
  <si>
    <t>All channels filter restores full view</t>
  </si>
  <si>
    <t>1. Switch to Formal
2. Then switch to All
3. Check timeline</t>
  </si>
  <si>
    <t>Timeline returns to full volume combining formal and informal. Stats match original load state.</t>
  </si>
  <si>
    <t>D-05</t>
  </si>
  <si>
    <t>Filter state persists across corridor changes</t>
  </si>
  <si>
    <t>1. Set channel to 'Formal'
2. Click a different corridor</t>
  </si>
  <si>
    <t>Channel filter remains set to 'Formal' after corridor change. New corridor data shown in formal channel only.</t>
  </si>
  <si>
    <t>D-06</t>
  </si>
  <si>
    <t>Zero-value edge case handled gracefully</t>
  </si>
  <si>
    <t>1. Select a corridor with very low informal volume
2. Switch to Informal filter</t>
  </si>
  <si>
    <t>Chart shows zero or near-zero bars. No NaN, undefined, or chart rendering error. Empty state message shown if applicable.</t>
  </si>
  <si>
    <t>E-01</t>
  </si>
  <si>
    <t>Timeline Chart</t>
  </si>
  <si>
    <t>Send/receive timeline renders with data</t>
  </si>
  <si>
    <t>1. Select any corridor
2. Observe TimelineChart in main stage</t>
  </si>
  <si>
    <t>Line or bar chart renders showing monthly volume from 2020 to mid-2024. X-axis shows month labels. Y-axis shows USD volume.</t>
  </si>
  <si>
    <t>E-02</t>
  </si>
  <si>
    <t>Timeline updates when corridor changes</t>
  </si>
  <si>
    <t>1. View timeline for US-MX
2. Click IN-US corridor</t>
  </si>
  <si>
    <t>Timeline re-renders with India-US volume data. Chart scale adjusts to new data range.</t>
  </si>
  <si>
    <t>E-03</t>
  </si>
  <si>
    <t>Timeline tooltip shows correct values</t>
  </si>
  <si>
    <t>1. Hover over a data point on timeline</t>
  </si>
  <si>
    <t>Tooltip shows: year-month, channel, volume USD, tx count, avg tx USD for that data point.</t>
  </si>
  <si>
    <t>E-04</t>
  </si>
  <si>
    <t>Timeline channel filter integration</t>
  </si>
  <si>
    <t>1. Set channel to Formal
2. Check timeline bars/lines</t>
  </si>
  <si>
    <t>Timeline shows only formal channel data series. Informal series hidden or removed.</t>
  </si>
  <si>
    <t>E-05</t>
  </si>
  <si>
    <t>Timeline shows seasonal pattern</t>
  </si>
  <si>
    <t>1. View US-MX timeline across full year</t>
  </si>
  <si>
    <t>December months show higher volume (holiday remittance spike). Seasonal trend visible — not flat line.</t>
  </si>
  <si>
    <t>F-01</t>
  </si>
  <si>
    <t>Provider Chart</t>
  </si>
  <si>
    <t>Provider benchmarking chart renders</t>
  </si>
  <si>
    <t>1. Select a corridor
2. Locate ProviderChart component</t>
  </si>
  <si>
    <t>Bar or table chart shows at least 3 providers (e.g. Western Union, Wise, Remitly) with cost % per provider.</t>
  </si>
  <si>
    <t>F-02</t>
  </si>
  <si>
    <t>Providers update per selected corridor</t>
  </si>
  <si>
    <t>1. View providers for US-MX
2. Switch to PH-US corridor</t>
  </si>
  <si>
    <t>Provider list updates when corridor changes. Confirmed: US-MX shows 4 providers, US-IN shows 3 different providers, UAE-PK shows MoneyGram/WU/Wise. getCostAnalysis() passes corridorId to backend filter.</t>
  </si>
  <si>
    <t>F-03</t>
  </si>
  <si>
    <t>Provider cost % is reasonable and labelled</t>
  </si>
  <si>
    <t>1. Check provider cost values</t>
  </si>
  <si>
    <t>All provider costs between 1% and 15%. Values labelled with % symbol. No negative or &gt;100% values.</t>
  </si>
  <si>
    <t>F-04</t>
  </si>
  <si>
    <t>Cheapest provider visually distinguished</t>
  </si>
  <si>
    <t>1. Compare provider chart bar colours or sorting</t>
  </si>
  <si>
    <t>Lowest-cost provider highlighted (e.g. green bar or top-ranked). User can identify best option at a glance.</t>
  </si>
  <si>
    <t>F-05</t>
  </si>
  <si>
    <t>Provider tooltip or detail on hover</t>
  </si>
  <si>
    <t>1. Hover over a provider bar/row</t>
  </si>
  <si>
    <t>Tooltip or inline detail shows: provider name, cost %, fee USD, FX margin. Data matches mock_data.json values.</t>
  </si>
  <si>
    <t>G-01</t>
  </si>
  <si>
    <t>Data Integrity</t>
  </si>
  <si>
    <t>LIVE data badge appears when World Bank API is reachable</t>
  </si>
  <si>
    <t>1. Ensure backend is running with network access
2. Check header badge</t>
  </si>
  <si>
    <t>Header shows 'LIVE' badge in green. Data source = 'World Bank Live'. No mock indicator.</t>
  </si>
  <si>
    <t>G-02</t>
  </si>
  <si>
    <t>MOCK badge appears when backend is offline</t>
  </si>
  <si>
    <t>1. Stop backend server
2. Reload frontend</t>
  </si>
  <si>
    <t>Header shows 'MOCK' badge in amber. App still loads with frontend mock data. No crash or blank screen.</t>
  </si>
  <si>
    <t>G-03</t>
  </si>
  <si>
    <t>Synthetic data is clearly labelled</t>
  </si>
  <si>
    <t>1. Check sidebar footer or data source section</t>
  </si>
  <si>
    <t>Footer or source section states 'Synthetic unit economics — not real transaction data'. No false live-data claim.</t>
  </si>
  <si>
    <t>G-04</t>
  </si>
  <si>
    <t>No console errors on clean load</t>
  </si>
  <si>
    <t>1. Open browser DevTools → Console
2. Hard-reload page</t>
  </si>
  <si>
    <t>Zero red errors in console. Warnings acceptable if non-breaking. No 404s for main assets.</t>
  </si>
  <si>
    <t>H-01</t>
  </si>
  <si>
    <t>Intelligence</t>
  </si>
  <si>
    <t>'Why This Matters' panel present and populated</t>
  </si>
  <si>
    <t>1. Scroll sidebar to Section B</t>
  </si>
  <si>
    <t>Section B titled 'WHY THIS MATTERS' is visible. Contains text explaining remittance cost burden, G20 5% target, migrant worker impact.</t>
  </si>
  <si>
    <t>H-02</t>
  </si>
  <si>
    <t>'Who Controls the Rail' panel present and populated</t>
  </si>
  <si>
    <t>1. Scroll sidebar to Section C</t>
  </si>
  <si>
    <t>Section C titled 'WHO CONTROLS THE RAIL' lists at minimum: World Bank, SWIFT/Correspondent Banks, MTOs, and Central Banks.</t>
  </si>
  <si>
    <t>H-03</t>
  </si>
  <si>
    <t>G20 5% cost target referenced</t>
  </si>
  <si>
    <t>1. Read 'Why This Matters' copy</t>
  </si>
  <si>
    <t>Text mentions the G20 target of reducing remittance costs to 5% or below. Frames current corridor costs against this benchmark.</t>
  </si>
  <si>
    <t>H-04</t>
  </si>
  <si>
    <t>Data source attribution visible</t>
  </si>
  <si>
    <t>1. Check sidebar footer or source section</t>
  </si>
  <si>
    <t>World Bank Data and ECB Data Portal are attributed by name. Refresh date or data vintage shown.</t>
  </si>
  <si>
    <t>H-05</t>
  </si>
  <si>
    <t>Copy is plain English (no jargon for everyday viewers)</t>
  </si>
  <si>
    <t>1. Read all sidebar copy
2. Assess readability</t>
  </si>
  <si>
    <t>No unexplained acronyms. Cost explained as 'what you pay to send $200'. Rail explained in one sentence. Suitable for non-finance audience.</t>
  </si>
  <si>
    <t>I-01</t>
  </si>
  <si>
    <t>Export</t>
  </si>
  <si>
    <t>Download sample data button present</t>
  </si>
  <si>
    <t>1. Locate download link in sidebar Section E</t>
  </si>
  <si>
    <t>Download link or button visible in sidebar. Label says 'Download Sample Data' or similar.</t>
  </si>
  <si>
    <t>I-02</t>
  </si>
  <si>
    <t>Download returns a valid CSV file</t>
  </si>
  <si>
    <t>1. Click download button
2. Open downloaded file</t>
  </si>
  <si>
    <t>Browser downloads a .csv file. File opens in Excel/Numbers with corridor data rows. No empty or corrupt file.</t>
  </si>
  <si>
    <t>I-03</t>
  </si>
  <si>
    <t>Downloaded CSV contains meaningful columns</t>
  </si>
  <si>
    <t>1. Open downloaded CSV
2. Check column headers and data</t>
  </si>
  <si>
    <t>CSV contains at minimum: corridor_id, from_country, to_country, avg_cost_pct, volume_bn_usd, speed_days, channel.</t>
  </si>
  <si>
    <t>J-01</t>
  </si>
  <si>
    <t>Performance</t>
  </si>
  <si>
    <t>Dashboard loads within 5 seconds</t>
  </si>
  <si>
    <t>1. Hard-reload page
2. Time from request to interactive</t>
  </si>
  <si>
    <t>Dashboard is interactive (map loads, sidebar shows data) within 5 seconds on local dev. Map skeleton shows immediately.</t>
  </si>
  <si>
    <t>J-03</t>
  </si>
  <si>
    <t>Edge Case</t>
  </si>
  <si>
    <t>Very low-cost corridor (&lt; 3%) displays correctly</t>
  </si>
  <si>
    <t>1. If available, select a low-cost corridor
2. Check cost display</t>
  </si>
  <si>
    <t>Cost % displays as e.g. '2.4%' — not '0%' or 'NaN'. Provider chart still renders with correct scale.</t>
  </si>
  <si>
    <t>J-04</t>
  </si>
  <si>
    <t>Rapid corridor switching does not break map</t>
  </si>
  <si>
    <t>1. Click 5 different corridors in quick succession</t>
  </si>
  <si>
    <t>Map re-renders each selection without freezing. Final selected corridor is highlighted. No duplicate arcs or stale state.</t>
  </si>
  <si>
    <t>Fill column G with: ✓ PASS  |  ✗ FAIL  |  ⬜ PENDING  |  ⏭ SKIP</t>
  </si>
  <si>
    <t>REMITTANCE CORRIDOR ANALYZER — UAT SUMMARY DASHBOARD</t>
  </si>
  <si>
    <t>METRIC</t>
  </si>
  <si>
    <t>VALUE</t>
  </si>
  <si>
    <t>COUNT</t>
  </si>
  <si>
    <t>WEIGHT</t>
  </si>
  <si>
    <t>Total Test Cases</t>
  </si>
  <si>
    <t>12%</t>
  </si>
  <si>
    <t>Critical Priority</t>
  </si>
  <si>
    <t>8%</t>
  </si>
  <si>
    <t>High Priority</t>
  </si>
  <si>
    <t>4%</t>
  </si>
  <si>
    <t>Medium Priority</t>
  </si>
  <si>
    <t>6%</t>
  </si>
  <si>
    <t>Passed</t>
  </si>
  <si>
    <t>Failed</t>
  </si>
  <si>
    <t>10%</t>
  </si>
  <si>
    <t>Pending</t>
  </si>
  <si>
    <t>2%</t>
  </si>
  <si>
    <t>Pass Rate %</t>
  </si>
  <si>
    <t>VAR Status</t>
  </si>
  <si>
    <t>GREEN — Proceed to UAT</t>
  </si>
  <si>
    <t>Build</t>
  </si>
  <si>
    <t>Remittance Corridor Analyzer v3.1.0 — 15 Corridors</t>
  </si>
  <si>
    <t>14%</t>
  </si>
  <si>
    <t>VAR AUDIT RESULTS REFERENCE — Remittance Corridor Analyzer</t>
  </si>
  <si>
    <t>CHECK</t>
  </si>
  <si>
    <t>FINDING</t>
  </si>
  <si>
    <t>VERDICT</t>
  </si>
  <si>
    <t>A1</t>
  </si>
  <si>
    <t>Requirement Match</t>
  </si>
  <si>
    <t>Archetype matches Episode + LinkedIn format</t>
  </si>
  <si>
    <t>CorridorMap + TimelineChart = Geo + Temporal archetype. Correct.</t>
  </si>
  <si>
    <t>PASS</t>
  </si>
  <si>
    <t>A2</t>
  </si>
  <si>
    <t>Title/Rail/ID match Row 13</t>
  </si>
  <si>
    <t>page.tsx &amp; main.py both show 'Remittance Corridor Analyzer · ID 13 · Payments'.</t>
  </si>
  <si>
    <t>A3</t>
  </si>
  <si>
    <t>All 5 required features present</t>
  </si>
  <si>
    <t>Corridor map, cost slider, timeline, formal/informal, provider chart — all implemented.</t>
  </si>
  <si>
    <t>A4</t>
  </si>
  <si>
    <t>'Why This Matters' panel</t>
  </si>
  <si>
    <t>Section B in Sidebar.tsx: G20 5% target, migrant worker cost burden copy.</t>
  </si>
  <si>
    <t>A5</t>
  </si>
  <si>
    <t>'Who Controls the Rail' panel</t>
  </si>
  <si>
    <t>Section C: World Bank, SWIFT, MTOs, Central Banks listed.</t>
  </si>
  <si>
    <t>A6</t>
  </si>
  <si>
    <t>Filters, tooltips, download</t>
  </si>
  <si>
    <t>Channel filter, amount slider, corridor tooltips, CSV download all present.</t>
  </si>
  <si>
    <t>B1</t>
  </si>
  <si>
    <t>DNA Check</t>
  </si>
  <si>
    <t>Background #030712</t>
  </si>
  <si>
    <t>globals.css --rr-bg: #030712. Applied to all root elements.</t>
  </si>
  <si>
    <t>B2</t>
  </si>
  <si>
    <t>70/30 split</t>
  </si>
  <si>
    <t>Sidebar w-[340px] = ~23.6% at 1440px. Should be w-[30%].</t>
  </si>
  <si>
    <t>IMPROVE</t>
  </si>
  <si>
    <t>B3</t>
  </si>
  <si>
    <t>Space Grotesk + IBM Plex Mono</t>
  </si>
  <si>
    <t>Both fonts imported and applied via CSS variables.</t>
  </si>
  <si>
    <t>B4</t>
  </si>
  <si>
    <t>Cyan #38BDF8 + Indigo #818CF8</t>
  </si>
  <si>
    <t>Both colours tokenised in tailwind.config.js and applied.</t>
  </si>
  <si>
    <t>B5</t>
  </si>
  <si>
    <t>Header bar</t>
  </si>
  <si>
    <t>Pulsing dot, project name, rail badge, data source badge. Compliant.</t>
  </si>
  <si>
    <t>B6</t>
  </si>
  <si>
    <t>All surfaces use rr-surface or rr-bg. Zero white backgrounds.</t>
  </si>
  <si>
    <t>C1</t>
  </si>
  <si>
    <t>Data Mapping</t>
  </si>
  <si>
    <t>World Bank API integrated</t>
  </si>
  <si>
    <t>fetch_worldbank_remittance_costs() calls World Bank API for 15 country pairs (expanded from 6). Auto-fallback to mock_data.json. LIVE/MOCK badge in header.</t>
  </si>
  <si>
    <t>C2</t>
  </si>
  <si>
    <t>ECB API integrated</t>
  </si>
  <si>
    <t>fetch_ecb_fx_rates() in main.py. EUR/USD and EUR/MXN rates used.</t>
  </si>
  <si>
    <t>C3</t>
  </si>
  <si>
    <t>Mock data clearly labelled</t>
  </si>
  <si>
    <t>api.ts logs mock usage. Header badge shows LIVE/MOCK. Protocol satisfied.</t>
  </si>
  <si>
    <t>C4</t>
  </si>
  <si>
    <t>Main stage accuracy</t>
  </si>
  <si>
    <t>Corridor arcs from API data. Tooltip shows real World Bank fields.</t>
  </si>
  <si>
    <t>C5</t>
  </si>
  <si>
    <t>Sidebar handshake</t>
  </si>
  <si>
    <t>onSelect(id) → setSelectedId → Sidebar re-renders with corridor data.</t>
  </si>
  <si>
    <t>C6</t>
  </si>
  <si>
    <t>Provider benchmarking</t>
  </si>
  <si>
    <t>46 corridor-specific providers across 15 corridors in mock_data.json. main.py filters by corridor param. Sidebar passes corridorId. Each corridor shows unique providers. Expanded from 7 to 15 corridors.</t>
  </si>
  <si>
    <t>D1</t>
  </si>
  <si>
    <t>Functional</t>
  </si>
  <si>
    <t>3-tier fallback chain</t>
  </si>
  <si>
    <t>Live API → FastAPI mock → Frontend mock. App never shows blank state.</t>
  </si>
  <si>
    <t>D2</t>
  </si>
  <si>
    <t>Amount slider</t>
  </si>
  <si>
    <t>amount state → recipient_amount computed dynamically in Sidebar.</t>
  </si>
  <si>
    <t>D3</t>
  </si>
  <si>
    <t>Channel filter</t>
  </si>
  <si>
    <t>channel state passed to TimelineChart and Sidebar. Stats recalculate.</t>
  </si>
  <si>
    <t>D4</t>
  </si>
  <si>
    <t>Map init (no crash)</t>
  </si>
  <si>
    <t>CorridorMap clears _leaflet_id on remount. React Strict Mode safe.</t>
  </si>
  <si>
    <t>D5</t>
  </si>
  <si>
    <t>Export/Download</t>
  </si>
  <si>
    <t>/api/download → StreamingResponse CSV. Download link in Sidebar Section E.</t>
  </si>
  <si>
    <t>D6</t>
  </si>
  <si>
    <t>Responsiveness</t>
  </si>
  <si>
    <t>Functional at 1280px+. Mobile not in scope for Episode format.</t>
  </si>
  <si>
    <t>D7</t>
  </si>
  <si>
    <t>Sidebar exact 30%</t>
  </si>
  <si>
    <t>w-[340px] is resolution-dependent. Use w-[30%] for DNA compliance.</t>
  </si>
  <si>
    <t>E1</t>
  </si>
  <si>
    <t>Economic context</t>
  </si>
  <si>
    <t>G20 5% target, migrant burden, corridor cost gap explained.</t>
  </si>
  <si>
    <t>E2</t>
  </si>
  <si>
    <t>Plain English copy</t>
  </si>
  <si>
    <t>No jargon. Cost explained as % of $200 send. Passes everyday viewer test.</t>
  </si>
  <si>
    <t>E3</t>
  </si>
  <si>
    <t>Source attribution</t>
  </si>
  <si>
    <t>World Bank + ECB attributed. LIVE/MOCK badge in header.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</si>
</sst>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scheme val="minor"/>
    </font>
    <font>
      <b/>
      <sz val="14"/>
      <color rgb="FF38BDF8"/>
      <name val="Arial"/>
    </font>
    <font>
      <sz val="8"/>
      <color rgb="FF475569"/>
      <name val="Arial"/>
    </font>
    <font>
      <b/>
      <sz val="8.5"/>
      <color rgb="FF38BDF8"/>
      <name val="Arial"/>
    </font>
    <font>
      <b/>
      <sz val="8"/>
      <color rgb="FF38BDF8"/>
      <name val="Arial"/>
    </font>
    <font>
      <b/>
      <sz val="8"/>
      <color rgb="FF818CF8"/>
      <name val="Arial"/>
    </font>
    <font>
      <b/>
      <sz val="8.5"/>
      <color rgb="FFE2E8F0"/>
      <name val="Arial"/>
    </font>
    <font>
      <sz val="8"/>
      <color rgb="FF94A3B8"/>
      <name val="Arial"/>
    </font>
    <font>
      <sz val="8"/>
      <color rgb="FFCBD5E1"/>
      <name val="Arial"/>
    </font>
    <font>
      <b/>
      <sz val="8"/>
      <color rgb="FFF87171"/>
      <name val="Arial"/>
    </font>
    <font>
      <b/>
      <sz val="9"/>
      <color rgb="FFFBBF24"/>
      <name val="Arial"/>
    </font>
    <font>
      <b/>
      <sz val="8"/>
      <color rgb="FFFBBF24"/>
      <name val="Arial"/>
    </font>
    <font>
      <b/>
      <sz val="8"/>
      <color rgb="FF94A3B8"/>
      <name val="Arial"/>
    </font>
    <font>
      <b/>
      <sz val="8"/>
      <color rgb="FFF0ABFC"/>
      <name val="Arial"/>
    </font>
    <font>
      <b/>
      <sz val="8"/>
      <color rgb="FF67E8F9"/>
      <name val="Arial"/>
    </font>
    <font>
      <b/>
      <sz val="8"/>
      <color rgb="FF34D399"/>
      <name val="Arial"/>
    </font>
    <font>
      <b/>
      <sz val="8"/>
      <color rgb="FFFCA5A5"/>
      <name val="Arial"/>
    </font>
    <font>
      <b/>
      <sz val="8"/>
      <color rgb="FFA5F3FC"/>
      <name val="Arial"/>
    </font>
    <font>
      <b/>
      <sz val="8"/>
      <color rgb="FFBBF7D0"/>
      <name val="Arial"/>
    </font>
    <font>
      <b/>
      <sz val="8"/>
      <color rgb="FFFED7AA"/>
      <name val="Arial"/>
    </font>
    <font>
      <sz val="7.5"/>
      <color rgb="FF475569"/>
      <name val="Arial"/>
    </font>
    <font>
      <b/>
      <sz val="13"/>
      <color rgb="FF38BDF8"/>
      <name val="Arial"/>
    </font>
    <font>
      <b/>
      <sz val="9"/>
      <color rgb="FF38BDF8"/>
      <name val="Arial"/>
    </font>
    <font>
      <b/>
      <sz val="9"/>
      <color rgb="FF475569"/>
      <name val="Arial"/>
    </font>
    <font>
      <b/>
      <sz val="11"/>
      <color rgb="FFE2E8F0"/>
      <name val="Arial"/>
    </font>
    <font>
      <b/>
      <sz val="11"/>
      <color rgb="FFF87171"/>
      <name val="Arial"/>
    </font>
    <font>
      <b/>
      <sz val="11"/>
      <color rgb="FFFBBF24"/>
      <name val="Arial"/>
    </font>
    <font>
      <b/>
      <sz val="11"/>
      <color rgb="FF94A3B8"/>
      <name val="Arial"/>
    </font>
    <font>
      <b/>
      <sz val="11"/>
      <color rgb="FF34D399"/>
      <name val="Arial"/>
    </font>
    <font>
      <b/>
      <sz val="11"/>
      <color rgb="FF38BDF8"/>
      <name val="Arial"/>
    </font>
    <font>
      <sz val="9"/>
      <color rgb="FF475569"/>
      <name val="Arial"/>
    </font>
    <font>
      <b/>
      <sz val="9"/>
      <color rgb="FFFCA5A5"/>
      <name val="Arial"/>
    </font>
    <font>
      <b/>
      <sz val="9"/>
      <color rgb="FF94A3B8"/>
      <name val="Arial"/>
    </font>
    <font>
      <b/>
      <sz val="9"/>
      <color rgb="FFBBF7D0"/>
      <name val="Arial"/>
    </font>
    <font>
      <b/>
      <sz val="9"/>
      <color rgb="FFA5F3FC"/>
      <name val="Arial"/>
    </font>
    <font>
      <b/>
      <sz val="9"/>
      <color rgb="FFFED7AA"/>
      <name val="Arial"/>
    </font>
    <font>
      <b/>
      <sz val="9"/>
      <color rgb="FF34D399"/>
      <name val="Arial"/>
    </font>
    <font>
      <b/>
      <sz val="9"/>
      <color rgb="FFF0ABFC"/>
      <name val="Arial"/>
    </font>
    <font>
      <b/>
      <sz val="9"/>
      <color rgb="FF67E8F9"/>
      <name val="Arial"/>
    </font>
    <font>
      <b/>
      <sz val="9"/>
      <color rgb="FF818CF8"/>
      <name val="Arial"/>
    </font>
    <font>
      <b/>
      <sz val="12"/>
      <color rgb="FF38BDF8"/>
      <name val="Arial"/>
    </font>
    <font>
      <sz val="8"/>
      <color rgb="FFE2E8F0"/>
      <name val="Arial"/>
    </font>
    <font>
      <sz val="7.5"/>
      <color rgb="FF94A3B8"/>
      <name val="Arial"/>
    </font>
  </fonts>
  <fills count="9">
    <fill>
      <patternFill patternType="none"/>
    </fill>
    <fill>
      <patternFill patternType="gray125"/>
    </fill>
    <fill>
      <patternFill patternType="solid">
        <fgColor rgb="FF0B1117"/>
      </patternFill>
    </fill>
    <fill>
      <patternFill patternType="solid">
        <fgColor rgb="FF030712"/>
      </patternFill>
    </fill>
    <fill>
      <patternFill patternType="solid">
        <fgColor rgb="FF1E293B"/>
      </patternFill>
    </fill>
    <fill>
      <patternFill patternType="solid">
        <fgColor rgb="FF0F1822"/>
      </patternFill>
    </fill>
    <fill>
      <patternFill patternType="solid">
        <fgColor rgb="FF111827"/>
      </patternFill>
    </fill>
    <fill>
      <patternFill patternType="solid">
        <fgColor rgb="FF052E16"/>
      </patternFill>
    </fill>
    <fill>
      <patternFill patternType="solid">
        <fgColor rgb="FF2D1F00"/>
      </patternFill>
    </fill>
  </fills>
  <borders count="4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>
      <left/>
      <right/>
      <top style="thin">
        <color rgb="FF1F2937"/>
      </top>
      <bottom style="thin">
        <color rgb="FF1F2937"/>
      </bottom>
      <diagonal/>
    </border>
    <border>
      <left/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3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top" wrapText="1"/>
    </xf>
    <xf numFmtId="0" fontId="41" fillId="5" borderId="1" xfId="0" applyFont="1" applyFill="1" applyBorder="1" applyAlignment="1">
      <alignment horizontal="left" vertical="top" wrapText="1"/>
    </xf>
    <xf numFmtId="0" fontId="42" fillId="5" borderId="1" xfId="0" applyFont="1" applyFill="1" applyBorder="1" applyAlignment="1">
      <alignment horizontal="left" vertical="top" wrapText="1"/>
    </xf>
    <xf numFmtId="0" fontId="36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41" fillId="6" borderId="1" xfId="0" applyFont="1" applyFill="1" applyBorder="1" applyAlignment="1">
      <alignment horizontal="left" vertical="top" wrapText="1"/>
    </xf>
    <xf numFmtId="0" fontId="42" fillId="6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1" fillId="2" borderId="0" xfId="0" applyFont="1" applyFill="1" applyAlignment="1">
      <alignment horizontal="center" vertical="center"/>
    </xf>
    <xf numFmtId="0" fontId="0" fillId="0" borderId="0" xfId="0"/>
    <xf numFmtId="0" fontId="4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</sheetPr>
  <dimension ref="A1:J58"/>
  <sheetViews>
    <sheetView showGridLines="0" tabSelected="1" workbookViewId="0">
      <pane ySplit="6" topLeftCell="A52" activePane="bottomLeft" state="frozen"/>
      <selection pane="bottomLeft" activeCell="G56" sqref="G56"/>
    </sheetView>
  </sheetViews>
  <sheetFormatPr defaultRowHeight="14.4" x14ac:dyDescent="0.3"/>
  <cols>
    <col min="1" max="1" width="7" customWidth="1"/>
    <col min="2" max="2" width="18" customWidth="1"/>
    <col min="3" max="3" width="30" customWidth="1"/>
    <col min="4" max="5" width="36" customWidth="1"/>
    <col min="6" max="7" width="12" customWidth="1"/>
    <col min="8" max="8" width="28" customWidth="1"/>
    <col min="9" max="10" width="14" customWidth="1"/>
  </cols>
  <sheetData>
    <row r="1" spans="1:10" ht="13.95" customHeight="1" x14ac:dyDescent="0.3"/>
    <row r="2" spans="1:10" ht="31.95" customHeight="1" x14ac:dyDescent="0.3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16.05" customHeight="1" x14ac:dyDescent="0.3">
      <c r="A3" s="1" t="s">
        <v>1</v>
      </c>
      <c r="D3" s="1" t="s">
        <v>2</v>
      </c>
      <c r="G3" s="1" t="s">
        <v>3</v>
      </c>
    </row>
    <row r="4" spans="1:10" ht="13.95" customHeight="1" x14ac:dyDescent="0.3">
      <c r="A4" s="1" t="s">
        <v>4</v>
      </c>
      <c r="D4" s="1" t="s">
        <v>5</v>
      </c>
      <c r="G4" s="1" t="s">
        <v>6</v>
      </c>
    </row>
    <row r="5" spans="1:10" ht="6" customHeight="1" x14ac:dyDescent="0.3"/>
    <row r="6" spans="1:10" ht="19.95" customHeight="1" x14ac:dyDescent="0.3">
      <c r="A6" s="62" t="s">
        <v>7</v>
      </c>
      <c r="B6" s="62" t="s">
        <v>8</v>
      </c>
      <c r="C6" s="62" t="s">
        <v>9</v>
      </c>
      <c r="D6" s="62" t="s">
        <v>10</v>
      </c>
      <c r="E6" s="62" t="s">
        <v>11</v>
      </c>
      <c r="F6" s="62" t="s">
        <v>12</v>
      </c>
      <c r="G6" s="62" t="s">
        <v>13</v>
      </c>
      <c r="H6" s="62" t="s">
        <v>14</v>
      </c>
      <c r="I6" s="62" t="s">
        <v>15</v>
      </c>
      <c r="J6" s="62" t="s">
        <v>16</v>
      </c>
    </row>
    <row r="7" spans="1:10" ht="52.05" customHeight="1" x14ac:dyDescent="0.3">
      <c r="A7" s="63" t="s">
        <v>17</v>
      </c>
      <c r="B7" s="2" t="s">
        <v>18</v>
      </c>
      <c r="C7" s="3" t="s">
        <v>19</v>
      </c>
      <c r="D7" s="4" t="s">
        <v>20</v>
      </c>
      <c r="E7" s="5" t="s">
        <v>21</v>
      </c>
      <c r="F7" s="6" t="s">
        <v>22</v>
      </c>
      <c r="G7" s="54" t="s">
        <v>264</v>
      </c>
      <c r="H7" s="7"/>
      <c r="I7" s="7"/>
      <c r="J7" s="7"/>
    </row>
    <row r="8" spans="1:10" ht="52.05" customHeight="1" x14ac:dyDescent="0.3">
      <c r="A8" s="68" t="s">
        <v>23</v>
      </c>
      <c r="B8" s="8" t="s">
        <v>18</v>
      </c>
      <c r="C8" s="9" t="s">
        <v>24</v>
      </c>
      <c r="D8" s="10" t="s">
        <v>25</v>
      </c>
      <c r="E8" s="11" t="s">
        <v>26</v>
      </c>
      <c r="F8" s="12" t="s">
        <v>22</v>
      </c>
      <c r="G8" s="13" t="s">
        <v>264</v>
      </c>
      <c r="H8" s="14"/>
      <c r="I8" s="14"/>
      <c r="J8" s="14"/>
    </row>
    <row r="9" spans="1:10" ht="52.05" customHeight="1" x14ac:dyDescent="0.3">
      <c r="A9" s="63" t="s">
        <v>27</v>
      </c>
      <c r="B9" s="2" t="s">
        <v>18</v>
      </c>
      <c r="C9" s="3" t="s">
        <v>28</v>
      </c>
      <c r="D9" s="4" t="s">
        <v>29</v>
      </c>
      <c r="E9" s="5" t="s">
        <v>30</v>
      </c>
      <c r="F9" s="6" t="s">
        <v>22</v>
      </c>
      <c r="G9" s="54" t="s">
        <v>264</v>
      </c>
      <c r="H9" s="7"/>
      <c r="I9" s="7"/>
      <c r="J9" s="7"/>
    </row>
    <row r="10" spans="1:10" ht="52.05" customHeight="1" x14ac:dyDescent="0.3">
      <c r="A10" s="68" t="s">
        <v>31</v>
      </c>
      <c r="B10" s="8" t="s">
        <v>18</v>
      </c>
      <c r="C10" s="9" t="s">
        <v>32</v>
      </c>
      <c r="D10" s="10" t="s">
        <v>33</v>
      </c>
      <c r="E10" s="11" t="s">
        <v>34</v>
      </c>
      <c r="F10" s="15" t="s">
        <v>35</v>
      </c>
      <c r="G10" s="13" t="s">
        <v>264</v>
      </c>
      <c r="H10" s="14"/>
      <c r="I10" s="14"/>
      <c r="J10" s="14"/>
    </row>
    <row r="11" spans="1:10" ht="52.05" customHeight="1" x14ac:dyDescent="0.3">
      <c r="A11" s="63" t="s">
        <v>36</v>
      </c>
      <c r="B11" s="2" t="s">
        <v>18</v>
      </c>
      <c r="C11" s="3" t="s">
        <v>37</v>
      </c>
      <c r="D11" s="4" t="s">
        <v>38</v>
      </c>
      <c r="E11" s="5" t="s">
        <v>39</v>
      </c>
      <c r="F11" s="16" t="s">
        <v>35</v>
      </c>
      <c r="G11" s="54" t="s">
        <v>264</v>
      </c>
      <c r="H11" s="7"/>
      <c r="I11" s="7"/>
      <c r="J11" s="7"/>
    </row>
    <row r="12" spans="1:10" ht="52.05" customHeight="1" x14ac:dyDescent="0.3">
      <c r="A12" s="68" t="s">
        <v>40</v>
      </c>
      <c r="B12" s="8" t="s">
        <v>18</v>
      </c>
      <c r="C12" s="9" t="s">
        <v>41</v>
      </c>
      <c r="D12" s="10" t="s">
        <v>42</v>
      </c>
      <c r="E12" s="11" t="s">
        <v>43</v>
      </c>
      <c r="F12" s="17" t="s">
        <v>44</v>
      </c>
      <c r="G12" s="13" t="s">
        <v>264</v>
      </c>
      <c r="H12" s="14"/>
      <c r="I12" s="14"/>
      <c r="J12" s="14"/>
    </row>
    <row r="13" spans="1:10" ht="52.05" customHeight="1" x14ac:dyDescent="0.3">
      <c r="A13" s="63" t="s">
        <v>45</v>
      </c>
      <c r="B13" s="2" t="s">
        <v>18</v>
      </c>
      <c r="C13" s="3" t="s">
        <v>46</v>
      </c>
      <c r="D13" s="4" t="s">
        <v>47</v>
      </c>
      <c r="E13" s="5" t="s">
        <v>48</v>
      </c>
      <c r="F13" s="16" t="s">
        <v>35</v>
      </c>
      <c r="G13" s="54" t="s">
        <v>264</v>
      </c>
      <c r="H13" s="7"/>
      <c r="I13" s="7"/>
      <c r="J13" s="7"/>
    </row>
    <row r="14" spans="1:10" ht="52.05" customHeight="1" x14ac:dyDescent="0.3">
      <c r="A14" s="68" t="s">
        <v>49</v>
      </c>
      <c r="B14" s="18" t="s">
        <v>50</v>
      </c>
      <c r="C14" s="9" t="s">
        <v>51</v>
      </c>
      <c r="D14" s="10" t="s">
        <v>52</v>
      </c>
      <c r="E14" s="11" t="s">
        <v>53</v>
      </c>
      <c r="F14" s="12" t="s">
        <v>22</v>
      </c>
      <c r="G14" s="13" t="s">
        <v>264</v>
      </c>
      <c r="H14" s="14"/>
      <c r="I14" s="14"/>
      <c r="J14" s="14"/>
    </row>
    <row r="15" spans="1:10" ht="52.05" customHeight="1" x14ac:dyDescent="0.3">
      <c r="A15" s="63" t="s">
        <v>54</v>
      </c>
      <c r="B15" s="19" t="s">
        <v>50</v>
      </c>
      <c r="C15" s="3" t="s">
        <v>55</v>
      </c>
      <c r="D15" s="4" t="s">
        <v>56</v>
      </c>
      <c r="E15" s="5" t="s">
        <v>57</v>
      </c>
      <c r="F15" s="6" t="s">
        <v>22</v>
      </c>
      <c r="G15" s="54" t="s">
        <v>264</v>
      </c>
      <c r="H15" s="7"/>
      <c r="I15" s="7"/>
      <c r="J15" s="7"/>
    </row>
    <row r="16" spans="1:10" ht="52.05" customHeight="1" x14ac:dyDescent="0.3">
      <c r="A16" s="68" t="s">
        <v>58</v>
      </c>
      <c r="B16" s="18" t="s">
        <v>50</v>
      </c>
      <c r="C16" s="9" t="s">
        <v>59</v>
      </c>
      <c r="D16" s="10" t="s">
        <v>60</v>
      </c>
      <c r="E16" s="11" t="s">
        <v>61</v>
      </c>
      <c r="F16" s="12" t="s">
        <v>22</v>
      </c>
      <c r="G16" s="13" t="s">
        <v>264</v>
      </c>
      <c r="H16" s="14"/>
      <c r="I16" s="14"/>
      <c r="J16" s="14"/>
    </row>
    <row r="17" spans="1:10" ht="52.05" customHeight="1" x14ac:dyDescent="0.3">
      <c r="A17" s="63" t="s">
        <v>62</v>
      </c>
      <c r="B17" s="19" t="s">
        <v>50</v>
      </c>
      <c r="C17" s="3" t="s">
        <v>63</v>
      </c>
      <c r="D17" s="4" t="s">
        <v>64</v>
      </c>
      <c r="E17" s="5" t="s">
        <v>65</v>
      </c>
      <c r="F17" s="16" t="s">
        <v>35</v>
      </c>
      <c r="G17" s="54" t="s">
        <v>264</v>
      </c>
      <c r="H17" s="7"/>
      <c r="I17" s="7"/>
      <c r="J17" s="7"/>
    </row>
    <row r="18" spans="1:10" ht="52.05" customHeight="1" x14ac:dyDescent="0.3">
      <c r="A18" s="68" t="s">
        <v>66</v>
      </c>
      <c r="B18" s="18" t="s">
        <v>50</v>
      </c>
      <c r="C18" s="9" t="s">
        <v>67</v>
      </c>
      <c r="D18" s="10" t="s">
        <v>68</v>
      </c>
      <c r="E18" s="11" t="s">
        <v>69</v>
      </c>
      <c r="F18" s="15" t="s">
        <v>35</v>
      </c>
      <c r="G18" s="13" t="s">
        <v>264</v>
      </c>
      <c r="H18" s="14"/>
      <c r="I18" s="14"/>
      <c r="J18" s="14"/>
    </row>
    <row r="19" spans="1:10" ht="52.05" customHeight="1" x14ac:dyDescent="0.3">
      <c r="A19" s="63" t="s">
        <v>70</v>
      </c>
      <c r="B19" s="19" t="s">
        <v>50</v>
      </c>
      <c r="C19" s="3" t="s">
        <v>71</v>
      </c>
      <c r="D19" s="4" t="s">
        <v>72</v>
      </c>
      <c r="E19" s="5" t="s">
        <v>73</v>
      </c>
      <c r="F19" s="16" t="s">
        <v>35</v>
      </c>
      <c r="G19" s="54" t="s">
        <v>264</v>
      </c>
      <c r="H19" s="7"/>
      <c r="I19" s="7"/>
      <c r="J19" s="7"/>
    </row>
    <row r="20" spans="1:10" ht="52.05" customHeight="1" x14ac:dyDescent="0.3">
      <c r="A20" s="68" t="s">
        <v>74</v>
      </c>
      <c r="B20" s="20" t="s">
        <v>75</v>
      </c>
      <c r="C20" s="9" t="s">
        <v>76</v>
      </c>
      <c r="D20" s="10" t="s">
        <v>77</v>
      </c>
      <c r="E20" s="11" t="s">
        <v>78</v>
      </c>
      <c r="F20" s="12" t="s">
        <v>22</v>
      </c>
      <c r="G20" s="13" t="s">
        <v>264</v>
      </c>
      <c r="H20" s="14"/>
      <c r="I20" s="14"/>
      <c r="J20" s="14"/>
    </row>
    <row r="21" spans="1:10" ht="52.05" customHeight="1" x14ac:dyDescent="0.3">
      <c r="A21" s="63" t="s">
        <v>79</v>
      </c>
      <c r="B21" s="21" t="s">
        <v>75</v>
      </c>
      <c r="C21" s="3" t="s">
        <v>80</v>
      </c>
      <c r="D21" s="4" t="s">
        <v>81</v>
      </c>
      <c r="E21" s="5" t="s">
        <v>82</v>
      </c>
      <c r="F21" s="6" t="s">
        <v>22</v>
      </c>
      <c r="G21" s="54" t="s">
        <v>264</v>
      </c>
      <c r="H21" s="7"/>
      <c r="I21" s="7"/>
      <c r="J21" s="7"/>
    </row>
    <row r="22" spans="1:10" ht="52.05" customHeight="1" x14ac:dyDescent="0.3">
      <c r="A22" s="68" t="s">
        <v>83</v>
      </c>
      <c r="B22" s="20" t="s">
        <v>75</v>
      </c>
      <c r="C22" s="9" t="s">
        <v>84</v>
      </c>
      <c r="D22" s="10" t="s">
        <v>85</v>
      </c>
      <c r="E22" s="11" t="s">
        <v>86</v>
      </c>
      <c r="F22" s="15" t="s">
        <v>35</v>
      </c>
      <c r="G22" s="13" t="s">
        <v>264</v>
      </c>
      <c r="H22" s="14"/>
      <c r="I22" s="14"/>
      <c r="J22" s="14"/>
    </row>
    <row r="23" spans="1:10" ht="52.05" customHeight="1" x14ac:dyDescent="0.3">
      <c r="A23" s="63" t="s">
        <v>87</v>
      </c>
      <c r="B23" s="21" t="s">
        <v>75</v>
      </c>
      <c r="C23" s="3" t="s">
        <v>88</v>
      </c>
      <c r="D23" s="4" t="s">
        <v>89</v>
      </c>
      <c r="E23" s="5" t="s">
        <v>90</v>
      </c>
      <c r="F23" s="16" t="s">
        <v>35</v>
      </c>
      <c r="G23" s="54" t="s">
        <v>264</v>
      </c>
      <c r="H23" s="7"/>
      <c r="I23" s="7"/>
      <c r="J23" s="7"/>
    </row>
    <row r="24" spans="1:10" ht="52.05" customHeight="1" x14ac:dyDescent="0.3">
      <c r="A24" s="68" t="s">
        <v>91</v>
      </c>
      <c r="B24" s="20" t="s">
        <v>75</v>
      </c>
      <c r="C24" s="9" t="s">
        <v>92</v>
      </c>
      <c r="D24" s="10" t="s">
        <v>93</v>
      </c>
      <c r="E24" s="11" t="s">
        <v>94</v>
      </c>
      <c r="F24" s="15" t="s">
        <v>35</v>
      </c>
      <c r="G24" s="13" t="s">
        <v>264</v>
      </c>
      <c r="H24" s="14"/>
      <c r="I24" s="14"/>
      <c r="J24" s="14"/>
    </row>
    <row r="25" spans="1:10" ht="52.05" customHeight="1" x14ac:dyDescent="0.3">
      <c r="A25" s="63" t="s">
        <v>95</v>
      </c>
      <c r="B25" s="21" t="s">
        <v>75</v>
      </c>
      <c r="C25" s="3" t="s">
        <v>96</v>
      </c>
      <c r="D25" s="4" t="s">
        <v>97</v>
      </c>
      <c r="E25" s="5" t="s">
        <v>98</v>
      </c>
      <c r="F25" s="22" t="s">
        <v>44</v>
      </c>
      <c r="G25" s="54" t="s">
        <v>264</v>
      </c>
      <c r="H25" s="7"/>
      <c r="I25" s="7"/>
      <c r="J25" s="7"/>
    </row>
    <row r="26" spans="1:10" ht="52.05" customHeight="1" x14ac:dyDescent="0.3">
      <c r="A26" s="68" t="s">
        <v>99</v>
      </c>
      <c r="B26" s="23" t="s">
        <v>100</v>
      </c>
      <c r="C26" s="9" t="s">
        <v>101</v>
      </c>
      <c r="D26" s="10" t="s">
        <v>102</v>
      </c>
      <c r="E26" s="11" t="s">
        <v>103</v>
      </c>
      <c r="F26" s="12" t="s">
        <v>22</v>
      </c>
      <c r="G26" s="13" t="s">
        <v>264</v>
      </c>
      <c r="H26" s="14"/>
      <c r="I26" s="14"/>
      <c r="J26" s="14"/>
    </row>
    <row r="27" spans="1:10" ht="52.05" customHeight="1" x14ac:dyDescent="0.3">
      <c r="A27" s="63" t="s">
        <v>104</v>
      </c>
      <c r="B27" s="24" t="s">
        <v>100</v>
      </c>
      <c r="C27" s="3" t="s">
        <v>105</v>
      </c>
      <c r="D27" s="4" t="s">
        <v>106</v>
      </c>
      <c r="E27" s="5" t="s">
        <v>107</v>
      </c>
      <c r="F27" s="6" t="s">
        <v>22</v>
      </c>
      <c r="G27" s="54" t="s">
        <v>264</v>
      </c>
      <c r="H27" s="7"/>
      <c r="I27" s="7"/>
      <c r="J27" s="7"/>
    </row>
    <row r="28" spans="1:10" ht="52.05" customHeight="1" x14ac:dyDescent="0.3">
      <c r="A28" s="68" t="s">
        <v>108</v>
      </c>
      <c r="B28" s="23" t="s">
        <v>100</v>
      </c>
      <c r="C28" s="9" t="s">
        <v>109</v>
      </c>
      <c r="D28" s="10" t="s">
        <v>110</v>
      </c>
      <c r="E28" s="11" t="s">
        <v>111</v>
      </c>
      <c r="F28" s="15" t="s">
        <v>35</v>
      </c>
      <c r="G28" s="13" t="s">
        <v>264</v>
      </c>
      <c r="H28" s="14"/>
      <c r="I28" s="14"/>
      <c r="J28" s="14"/>
    </row>
    <row r="29" spans="1:10" ht="52.05" customHeight="1" x14ac:dyDescent="0.3">
      <c r="A29" s="63" t="s">
        <v>112</v>
      </c>
      <c r="B29" s="24" t="s">
        <v>100</v>
      </c>
      <c r="C29" s="3" t="s">
        <v>113</v>
      </c>
      <c r="D29" s="4" t="s">
        <v>114</v>
      </c>
      <c r="E29" s="5" t="s">
        <v>115</v>
      </c>
      <c r="F29" s="16" t="s">
        <v>35</v>
      </c>
      <c r="G29" s="54" t="s">
        <v>264</v>
      </c>
      <c r="H29" s="7"/>
      <c r="I29" s="7"/>
      <c r="J29" s="7"/>
    </row>
    <row r="30" spans="1:10" ht="52.05" customHeight="1" x14ac:dyDescent="0.3">
      <c r="A30" s="68" t="s">
        <v>116</v>
      </c>
      <c r="B30" s="23" t="s">
        <v>100</v>
      </c>
      <c r="C30" s="9" t="s">
        <v>117</v>
      </c>
      <c r="D30" s="10" t="s">
        <v>118</v>
      </c>
      <c r="E30" s="11" t="s">
        <v>119</v>
      </c>
      <c r="F30" s="17" t="s">
        <v>44</v>
      </c>
      <c r="G30" s="13" t="s">
        <v>264</v>
      </c>
      <c r="H30" s="14"/>
      <c r="I30" s="14"/>
      <c r="J30" s="14"/>
    </row>
    <row r="31" spans="1:10" ht="52.05" customHeight="1" x14ac:dyDescent="0.3">
      <c r="A31" s="63" t="s">
        <v>120</v>
      </c>
      <c r="B31" s="24" t="s">
        <v>100</v>
      </c>
      <c r="C31" s="3" t="s">
        <v>121</v>
      </c>
      <c r="D31" s="4" t="s">
        <v>122</v>
      </c>
      <c r="E31" s="5" t="s">
        <v>123</v>
      </c>
      <c r="F31" s="22" t="s">
        <v>44</v>
      </c>
      <c r="G31" s="54" t="s">
        <v>264</v>
      </c>
      <c r="H31" s="7"/>
      <c r="I31" s="7"/>
      <c r="J31" s="7"/>
    </row>
    <row r="32" spans="1:10" ht="52.05" customHeight="1" x14ac:dyDescent="0.3">
      <c r="A32" s="68" t="s">
        <v>124</v>
      </c>
      <c r="B32" s="25" t="s">
        <v>125</v>
      </c>
      <c r="C32" s="9" t="s">
        <v>126</v>
      </c>
      <c r="D32" s="10" t="s">
        <v>127</v>
      </c>
      <c r="E32" s="11" t="s">
        <v>128</v>
      </c>
      <c r="F32" s="12" t="s">
        <v>22</v>
      </c>
      <c r="G32" s="13" t="s">
        <v>264</v>
      </c>
      <c r="H32" s="14"/>
      <c r="I32" s="14"/>
      <c r="J32" s="14"/>
    </row>
    <row r="33" spans="1:10" ht="52.05" customHeight="1" x14ac:dyDescent="0.3">
      <c r="A33" s="63" t="s">
        <v>129</v>
      </c>
      <c r="B33" s="26" t="s">
        <v>125</v>
      </c>
      <c r="C33" s="3" t="s">
        <v>130</v>
      </c>
      <c r="D33" s="4" t="s">
        <v>131</v>
      </c>
      <c r="E33" s="5" t="s">
        <v>132</v>
      </c>
      <c r="F33" s="6" t="s">
        <v>22</v>
      </c>
      <c r="G33" s="54" t="s">
        <v>264</v>
      </c>
      <c r="H33" s="7"/>
      <c r="I33" s="7"/>
      <c r="J33" s="7"/>
    </row>
    <row r="34" spans="1:10" ht="52.05" customHeight="1" x14ac:dyDescent="0.3">
      <c r="A34" s="68" t="s">
        <v>133</v>
      </c>
      <c r="B34" s="25" t="s">
        <v>125</v>
      </c>
      <c r="C34" s="9" t="s">
        <v>134</v>
      </c>
      <c r="D34" s="10" t="s">
        <v>135</v>
      </c>
      <c r="E34" s="11" t="s">
        <v>136</v>
      </c>
      <c r="F34" s="15" t="s">
        <v>35</v>
      </c>
      <c r="G34" s="13" t="s">
        <v>264</v>
      </c>
      <c r="H34" s="14"/>
      <c r="I34" s="14"/>
      <c r="J34" s="14"/>
    </row>
    <row r="35" spans="1:10" ht="52.05" customHeight="1" x14ac:dyDescent="0.3">
      <c r="A35" s="63" t="s">
        <v>137</v>
      </c>
      <c r="B35" s="26" t="s">
        <v>125</v>
      </c>
      <c r="C35" s="3" t="s">
        <v>138</v>
      </c>
      <c r="D35" s="4" t="s">
        <v>139</v>
      </c>
      <c r="E35" s="5" t="s">
        <v>140</v>
      </c>
      <c r="F35" s="16" t="s">
        <v>35</v>
      </c>
      <c r="G35" s="54" t="s">
        <v>264</v>
      </c>
      <c r="H35" s="7"/>
      <c r="I35" s="7"/>
      <c r="J35" s="7"/>
    </row>
    <row r="36" spans="1:10" ht="52.05" customHeight="1" x14ac:dyDescent="0.3">
      <c r="A36" s="68" t="s">
        <v>141</v>
      </c>
      <c r="B36" s="25" t="s">
        <v>125</v>
      </c>
      <c r="C36" s="9" t="s">
        <v>142</v>
      </c>
      <c r="D36" s="10" t="s">
        <v>143</v>
      </c>
      <c r="E36" s="11" t="s">
        <v>144</v>
      </c>
      <c r="F36" s="17" t="s">
        <v>44</v>
      </c>
      <c r="G36" s="13" t="s">
        <v>264</v>
      </c>
      <c r="H36" s="14"/>
      <c r="I36" s="14"/>
      <c r="J36" s="14"/>
    </row>
    <row r="37" spans="1:10" ht="52.05" customHeight="1" x14ac:dyDescent="0.3">
      <c r="A37" s="63" t="s">
        <v>145</v>
      </c>
      <c r="B37" s="27" t="s">
        <v>146</v>
      </c>
      <c r="C37" s="3" t="s">
        <v>147</v>
      </c>
      <c r="D37" s="4" t="s">
        <v>148</v>
      </c>
      <c r="E37" s="5" t="s">
        <v>149</v>
      </c>
      <c r="F37" s="6" t="s">
        <v>22</v>
      </c>
      <c r="G37" s="54" t="s">
        <v>264</v>
      </c>
      <c r="H37" s="7"/>
      <c r="I37" s="7"/>
      <c r="J37" s="7"/>
    </row>
    <row r="38" spans="1:10" ht="52.05" customHeight="1" x14ac:dyDescent="0.3">
      <c r="A38" s="68" t="s">
        <v>150</v>
      </c>
      <c r="B38" s="28" t="s">
        <v>146</v>
      </c>
      <c r="C38" s="9" t="s">
        <v>151</v>
      </c>
      <c r="D38" s="10" t="s">
        <v>152</v>
      </c>
      <c r="E38" s="11" t="s">
        <v>153</v>
      </c>
      <c r="F38" s="12" t="s">
        <v>22</v>
      </c>
      <c r="G38" s="13" t="s">
        <v>264</v>
      </c>
      <c r="H38" s="14"/>
      <c r="I38" s="14"/>
      <c r="J38" s="14"/>
    </row>
    <row r="39" spans="1:10" ht="52.05" customHeight="1" x14ac:dyDescent="0.3">
      <c r="A39" s="63" t="s">
        <v>154</v>
      </c>
      <c r="B39" s="27" t="s">
        <v>146</v>
      </c>
      <c r="C39" s="3" t="s">
        <v>155</v>
      </c>
      <c r="D39" s="4" t="s">
        <v>156</v>
      </c>
      <c r="E39" s="5" t="s">
        <v>157</v>
      </c>
      <c r="F39" s="16" t="s">
        <v>35</v>
      </c>
      <c r="G39" s="54" t="s">
        <v>264</v>
      </c>
      <c r="H39" s="7"/>
      <c r="I39" s="7"/>
      <c r="J39" s="7"/>
    </row>
    <row r="40" spans="1:10" ht="52.05" customHeight="1" x14ac:dyDescent="0.3">
      <c r="A40" s="68" t="s">
        <v>158</v>
      </c>
      <c r="B40" s="28" t="s">
        <v>146</v>
      </c>
      <c r="C40" s="9" t="s">
        <v>159</v>
      </c>
      <c r="D40" s="10" t="s">
        <v>160</v>
      </c>
      <c r="E40" s="11" t="s">
        <v>161</v>
      </c>
      <c r="F40" s="15" t="s">
        <v>35</v>
      </c>
      <c r="G40" s="13" t="s">
        <v>264</v>
      </c>
      <c r="H40" s="14"/>
      <c r="I40" s="14"/>
      <c r="J40" s="14"/>
    </row>
    <row r="41" spans="1:10" ht="52.05" customHeight="1" x14ac:dyDescent="0.3">
      <c r="A41" s="63" t="s">
        <v>162</v>
      </c>
      <c r="B41" s="27" t="s">
        <v>146</v>
      </c>
      <c r="C41" s="3" t="s">
        <v>163</v>
      </c>
      <c r="D41" s="4" t="s">
        <v>164</v>
      </c>
      <c r="E41" s="5" t="s">
        <v>165</v>
      </c>
      <c r="F41" s="22" t="s">
        <v>44</v>
      </c>
      <c r="G41" s="54" t="s">
        <v>264</v>
      </c>
      <c r="H41" s="7"/>
      <c r="I41" s="7"/>
      <c r="J41" s="7"/>
    </row>
    <row r="42" spans="1:10" ht="52.05" customHeight="1" x14ac:dyDescent="0.3">
      <c r="A42" s="68" t="s">
        <v>166</v>
      </c>
      <c r="B42" s="29" t="s">
        <v>167</v>
      </c>
      <c r="C42" s="9" t="s">
        <v>168</v>
      </c>
      <c r="D42" s="10" t="s">
        <v>169</v>
      </c>
      <c r="E42" s="11" t="s">
        <v>170</v>
      </c>
      <c r="F42" s="15" t="s">
        <v>35</v>
      </c>
      <c r="G42" s="13" t="s">
        <v>264</v>
      </c>
      <c r="H42" s="14"/>
      <c r="I42" s="14"/>
      <c r="J42" s="14"/>
    </row>
    <row r="43" spans="1:10" ht="52.05" customHeight="1" x14ac:dyDescent="0.3">
      <c r="A43" s="63" t="s">
        <v>171</v>
      </c>
      <c r="B43" s="30" t="s">
        <v>167</v>
      </c>
      <c r="C43" s="3" t="s">
        <v>172</v>
      </c>
      <c r="D43" s="4" t="s">
        <v>173</v>
      </c>
      <c r="E43" s="5" t="s">
        <v>174</v>
      </c>
      <c r="F43" s="6" t="s">
        <v>22</v>
      </c>
      <c r="G43" s="54" t="s">
        <v>264</v>
      </c>
      <c r="H43" s="7"/>
      <c r="I43" s="7"/>
      <c r="J43" s="7"/>
    </row>
    <row r="44" spans="1:10" ht="52.05" customHeight="1" x14ac:dyDescent="0.3">
      <c r="A44" s="68" t="s">
        <v>175</v>
      </c>
      <c r="B44" s="29" t="s">
        <v>167</v>
      </c>
      <c r="C44" s="9" t="s">
        <v>176</v>
      </c>
      <c r="D44" s="10" t="s">
        <v>177</v>
      </c>
      <c r="E44" s="11" t="s">
        <v>178</v>
      </c>
      <c r="F44" s="15" t="s">
        <v>35</v>
      </c>
      <c r="G44" s="13" t="s">
        <v>264</v>
      </c>
      <c r="H44" s="14"/>
      <c r="I44" s="14"/>
      <c r="J44" s="14"/>
    </row>
    <row r="45" spans="1:10" ht="52.05" customHeight="1" x14ac:dyDescent="0.3">
      <c r="A45" s="63" t="s">
        <v>179</v>
      </c>
      <c r="B45" s="30" t="s">
        <v>167</v>
      </c>
      <c r="C45" s="3" t="s">
        <v>180</v>
      </c>
      <c r="D45" s="4" t="s">
        <v>181</v>
      </c>
      <c r="E45" s="5" t="s">
        <v>182</v>
      </c>
      <c r="F45" s="16" t="s">
        <v>35</v>
      </c>
      <c r="G45" s="54" t="s">
        <v>264</v>
      </c>
      <c r="H45" s="7"/>
      <c r="I45" s="7"/>
      <c r="J45" s="7"/>
    </row>
    <row r="46" spans="1:10" ht="52.05" customHeight="1" x14ac:dyDescent="0.3">
      <c r="A46" s="68" t="s">
        <v>183</v>
      </c>
      <c r="B46" s="31" t="s">
        <v>184</v>
      </c>
      <c r="C46" s="9" t="s">
        <v>185</v>
      </c>
      <c r="D46" s="10" t="s">
        <v>186</v>
      </c>
      <c r="E46" s="11" t="s">
        <v>187</v>
      </c>
      <c r="F46" s="12" t="s">
        <v>22</v>
      </c>
      <c r="G46" s="13" t="s">
        <v>264</v>
      </c>
      <c r="H46" s="14"/>
      <c r="I46" s="14"/>
      <c r="J46" s="14"/>
    </row>
    <row r="47" spans="1:10" ht="52.05" customHeight="1" x14ac:dyDescent="0.3">
      <c r="A47" s="63" t="s">
        <v>188</v>
      </c>
      <c r="B47" s="32" t="s">
        <v>184</v>
      </c>
      <c r="C47" s="3" t="s">
        <v>189</v>
      </c>
      <c r="D47" s="4" t="s">
        <v>190</v>
      </c>
      <c r="E47" s="5" t="s">
        <v>191</v>
      </c>
      <c r="F47" s="6" t="s">
        <v>22</v>
      </c>
      <c r="G47" s="54" t="s">
        <v>264</v>
      </c>
      <c r="H47" s="7"/>
      <c r="I47" s="7"/>
      <c r="J47" s="7"/>
    </row>
    <row r="48" spans="1:10" ht="52.05" customHeight="1" x14ac:dyDescent="0.3">
      <c r="A48" s="68" t="s">
        <v>192</v>
      </c>
      <c r="B48" s="31" t="s">
        <v>184</v>
      </c>
      <c r="C48" s="9" t="s">
        <v>193</v>
      </c>
      <c r="D48" s="10" t="s">
        <v>194</v>
      </c>
      <c r="E48" s="11" t="s">
        <v>195</v>
      </c>
      <c r="F48" s="15" t="s">
        <v>35</v>
      </c>
      <c r="G48" s="13" t="s">
        <v>264</v>
      </c>
      <c r="H48" s="14"/>
      <c r="I48" s="14"/>
      <c r="J48" s="14"/>
    </row>
    <row r="49" spans="1:10" ht="52.05" customHeight="1" x14ac:dyDescent="0.3">
      <c r="A49" s="63" t="s">
        <v>196</v>
      </c>
      <c r="B49" s="32" t="s">
        <v>184</v>
      </c>
      <c r="C49" s="3" t="s">
        <v>197</v>
      </c>
      <c r="D49" s="4" t="s">
        <v>198</v>
      </c>
      <c r="E49" s="5" t="s">
        <v>199</v>
      </c>
      <c r="F49" s="16" t="s">
        <v>35</v>
      </c>
      <c r="G49" s="54" t="s">
        <v>264</v>
      </c>
      <c r="H49" s="7"/>
      <c r="I49" s="7"/>
      <c r="J49" s="7"/>
    </row>
    <row r="50" spans="1:10" ht="52.05" customHeight="1" x14ac:dyDescent="0.3">
      <c r="A50" s="68" t="s">
        <v>200</v>
      </c>
      <c r="B50" s="31" t="s">
        <v>184</v>
      </c>
      <c r="C50" s="9" t="s">
        <v>201</v>
      </c>
      <c r="D50" s="10" t="s">
        <v>202</v>
      </c>
      <c r="E50" s="11" t="s">
        <v>203</v>
      </c>
      <c r="F50" s="15" t="s">
        <v>35</v>
      </c>
      <c r="G50" s="13" t="s">
        <v>264</v>
      </c>
      <c r="H50" s="14"/>
      <c r="I50" s="14"/>
      <c r="J50" s="14"/>
    </row>
    <row r="51" spans="1:10" ht="52.05" customHeight="1" x14ac:dyDescent="0.3">
      <c r="A51" s="63" t="s">
        <v>204</v>
      </c>
      <c r="B51" s="33" t="s">
        <v>205</v>
      </c>
      <c r="C51" s="3" t="s">
        <v>206</v>
      </c>
      <c r="D51" s="4" t="s">
        <v>207</v>
      </c>
      <c r="E51" s="5" t="s">
        <v>208</v>
      </c>
      <c r="F51" s="16" t="s">
        <v>35</v>
      </c>
      <c r="G51" s="54" t="s">
        <v>264</v>
      </c>
      <c r="H51" s="7"/>
      <c r="I51" s="7"/>
      <c r="J51" s="7"/>
    </row>
    <row r="52" spans="1:10" ht="52.05" customHeight="1" x14ac:dyDescent="0.3">
      <c r="A52" s="68" t="s">
        <v>209</v>
      </c>
      <c r="B52" s="34" t="s">
        <v>205</v>
      </c>
      <c r="C52" s="9" t="s">
        <v>210</v>
      </c>
      <c r="D52" s="10" t="s">
        <v>211</v>
      </c>
      <c r="E52" s="11" t="s">
        <v>212</v>
      </c>
      <c r="F52" s="15" t="s">
        <v>35</v>
      </c>
      <c r="G52" s="13" t="s">
        <v>264</v>
      </c>
      <c r="H52" s="14"/>
      <c r="I52" s="14"/>
      <c r="J52" s="14"/>
    </row>
    <row r="53" spans="1:10" ht="52.05" customHeight="1" x14ac:dyDescent="0.3">
      <c r="A53" s="63" t="s">
        <v>213</v>
      </c>
      <c r="B53" s="33" t="s">
        <v>205</v>
      </c>
      <c r="C53" s="3" t="s">
        <v>214</v>
      </c>
      <c r="D53" s="4" t="s">
        <v>215</v>
      </c>
      <c r="E53" s="5" t="s">
        <v>216</v>
      </c>
      <c r="F53" s="22" t="s">
        <v>44</v>
      </c>
      <c r="G53" s="54" t="s">
        <v>264</v>
      </c>
      <c r="H53" s="7"/>
      <c r="I53" s="7"/>
      <c r="J53" s="7"/>
    </row>
    <row r="54" spans="1:10" ht="52.05" customHeight="1" x14ac:dyDescent="0.3">
      <c r="A54" s="68" t="s">
        <v>217</v>
      </c>
      <c r="B54" s="35" t="s">
        <v>218</v>
      </c>
      <c r="C54" s="9" t="s">
        <v>219</v>
      </c>
      <c r="D54" s="10" t="s">
        <v>220</v>
      </c>
      <c r="E54" s="11" t="s">
        <v>221</v>
      </c>
      <c r="F54" s="15" t="s">
        <v>35</v>
      </c>
      <c r="G54" s="13" t="s">
        <v>264</v>
      </c>
      <c r="H54" s="14"/>
      <c r="I54" s="14"/>
      <c r="J54" s="14"/>
    </row>
    <row r="55" spans="1:10" ht="52.05" customHeight="1" x14ac:dyDescent="0.3">
      <c r="A55" s="63" t="s">
        <v>222</v>
      </c>
      <c r="B55" s="36" t="s">
        <v>223</v>
      </c>
      <c r="C55" s="3" t="s">
        <v>224</v>
      </c>
      <c r="D55" s="4" t="s">
        <v>225</v>
      </c>
      <c r="E55" s="5" t="s">
        <v>226</v>
      </c>
      <c r="F55" s="22" t="s">
        <v>44</v>
      </c>
      <c r="G55" s="54" t="s">
        <v>264</v>
      </c>
      <c r="H55" s="7"/>
      <c r="I55" s="7"/>
      <c r="J55" s="7"/>
    </row>
    <row r="56" spans="1:10" ht="52.05" customHeight="1" x14ac:dyDescent="0.3">
      <c r="A56" s="68" t="s">
        <v>227</v>
      </c>
      <c r="B56" s="37" t="s">
        <v>223</v>
      </c>
      <c r="C56" s="9" t="s">
        <v>228</v>
      </c>
      <c r="D56" s="10" t="s">
        <v>229</v>
      </c>
      <c r="E56" s="11" t="s">
        <v>230</v>
      </c>
      <c r="F56" s="15" t="s">
        <v>35</v>
      </c>
      <c r="G56" s="13" t="s">
        <v>264</v>
      </c>
      <c r="H56" s="14"/>
      <c r="I56" s="14"/>
      <c r="J56" s="14"/>
    </row>
    <row r="58" spans="1:10" ht="13.95" customHeight="1" x14ac:dyDescent="0.3">
      <c r="G58" s="38" t="s">
        <v>231</v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F14"/>
  <sheetViews>
    <sheetView showGridLines="0" workbookViewId="0"/>
  </sheetViews>
  <sheetFormatPr defaultRowHeight="14.4" x14ac:dyDescent="0.3"/>
  <cols>
    <col min="1" max="1" width="20" customWidth="1"/>
    <col min="2" max="5" width="16" customWidth="1"/>
    <col min="6" max="6" width="20" customWidth="1"/>
  </cols>
  <sheetData>
    <row r="1" spans="1:6" ht="28.05" customHeight="1" x14ac:dyDescent="0.3">
      <c r="A1" s="76" t="s">
        <v>232</v>
      </c>
      <c r="B1" s="77"/>
      <c r="C1" s="77"/>
      <c r="D1" s="77"/>
      <c r="E1" s="77"/>
      <c r="F1" s="77"/>
    </row>
    <row r="3" spans="1:6" x14ac:dyDescent="0.3">
      <c r="A3" s="39" t="s">
        <v>233</v>
      </c>
      <c r="B3" s="39" t="s">
        <v>234</v>
      </c>
      <c r="D3" s="39" t="s">
        <v>8</v>
      </c>
      <c r="E3" s="39" t="s">
        <v>235</v>
      </c>
      <c r="F3" s="39" t="s">
        <v>236</v>
      </c>
    </row>
    <row r="4" spans="1:6" ht="19.95" customHeight="1" x14ac:dyDescent="0.3">
      <c r="A4" s="40" t="s">
        <v>237</v>
      </c>
      <c r="B4" s="41">
        <v>50</v>
      </c>
      <c r="D4" s="42" t="s">
        <v>50</v>
      </c>
      <c r="E4" s="41">
        <v>6</v>
      </c>
      <c r="F4" s="43" t="s">
        <v>238</v>
      </c>
    </row>
    <row r="5" spans="1:6" ht="19.95" customHeight="1" x14ac:dyDescent="0.3">
      <c r="A5" s="44" t="s">
        <v>239</v>
      </c>
      <c r="B5" s="45">
        <v>17</v>
      </c>
      <c r="D5" s="46" t="s">
        <v>167</v>
      </c>
      <c r="E5" s="47">
        <v>4</v>
      </c>
      <c r="F5" s="48" t="s">
        <v>240</v>
      </c>
    </row>
    <row r="6" spans="1:6" ht="19.95" customHeight="1" x14ac:dyDescent="0.3">
      <c r="A6" s="40" t="s">
        <v>241</v>
      </c>
      <c r="B6" s="49">
        <v>25</v>
      </c>
      <c r="D6" s="50" t="s">
        <v>223</v>
      </c>
      <c r="E6" s="41">
        <v>2</v>
      </c>
      <c r="F6" s="43" t="s">
        <v>242</v>
      </c>
    </row>
    <row r="7" spans="1:6" ht="19.95" customHeight="1" x14ac:dyDescent="0.3">
      <c r="A7" s="44" t="s">
        <v>243</v>
      </c>
      <c r="B7" s="51">
        <v>8</v>
      </c>
      <c r="D7" s="52" t="s">
        <v>205</v>
      </c>
      <c r="E7" s="47">
        <v>3</v>
      </c>
      <c r="F7" s="48" t="s">
        <v>244</v>
      </c>
    </row>
    <row r="8" spans="1:6" ht="19.95" customHeight="1" x14ac:dyDescent="0.3">
      <c r="A8" s="40" t="s">
        <v>245</v>
      </c>
      <c r="B8" s="53">
        <f>COUNTIF('UAT Checklist'!G7:G999,"✓ PASS")</f>
        <v>0</v>
      </c>
      <c r="D8" s="54" t="s">
        <v>100</v>
      </c>
      <c r="E8" s="41">
        <v>6</v>
      </c>
      <c r="F8" s="43" t="s">
        <v>238</v>
      </c>
    </row>
    <row r="9" spans="1:6" ht="19.95" customHeight="1" x14ac:dyDescent="0.3">
      <c r="A9" s="44" t="s">
        <v>246</v>
      </c>
      <c r="B9" s="45">
        <f>COUNTIF('UAT Checklist'!G7:G999,"✗ FAIL")</f>
        <v>0</v>
      </c>
      <c r="D9" s="55" t="s">
        <v>184</v>
      </c>
      <c r="E9" s="47">
        <v>5</v>
      </c>
      <c r="F9" s="48" t="s">
        <v>247</v>
      </c>
    </row>
    <row r="10" spans="1:6" ht="19.95" customHeight="1" x14ac:dyDescent="0.3">
      <c r="A10" s="40" t="s">
        <v>248</v>
      </c>
      <c r="B10" s="49">
        <f>COUNTIF('UAT Checklist'!G7:G999,"⬜ PENDING")</f>
        <v>0</v>
      </c>
      <c r="D10" s="56" t="s">
        <v>218</v>
      </c>
      <c r="E10" s="41">
        <v>1</v>
      </c>
      <c r="F10" s="43" t="s">
        <v>249</v>
      </c>
    </row>
    <row r="11" spans="1:6" ht="19.95" customHeight="1" x14ac:dyDescent="0.3">
      <c r="A11" s="44" t="s">
        <v>250</v>
      </c>
      <c r="B11" s="57">
        <f>IFERROR(COUNTIF('UAT Checklist'!G7:G999,"✓ PASS")/COUNTA('UAT Checklist'!G7:G999)*100,0)</f>
        <v>0</v>
      </c>
      <c r="D11" s="58" t="s">
        <v>146</v>
      </c>
      <c r="E11" s="47">
        <v>5</v>
      </c>
      <c r="F11" s="48" t="s">
        <v>247</v>
      </c>
    </row>
    <row r="12" spans="1:6" ht="19.95" customHeight="1" x14ac:dyDescent="0.3">
      <c r="A12" s="40" t="s">
        <v>251</v>
      </c>
      <c r="B12" s="53" t="s">
        <v>252</v>
      </c>
      <c r="D12" s="59" t="s">
        <v>75</v>
      </c>
      <c r="E12" s="41">
        <v>6</v>
      </c>
      <c r="F12" s="43" t="s">
        <v>238</v>
      </c>
    </row>
    <row r="13" spans="1:6" ht="19.95" customHeight="1" x14ac:dyDescent="0.3">
      <c r="A13" s="44" t="s">
        <v>253</v>
      </c>
      <c r="B13" s="51" t="s">
        <v>254</v>
      </c>
      <c r="D13" s="60" t="s">
        <v>125</v>
      </c>
      <c r="E13" s="47">
        <v>5</v>
      </c>
      <c r="F13" s="48" t="s">
        <v>247</v>
      </c>
    </row>
    <row r="14" spans="1:6" ht="19.95" customHeight="1" x14ac:dyDescent="0.3">
      <c r="D14" s="61" t="s">
        <v>18</v>
      </c>
      <c r="E14" s="41">
        <v>7</v>
      </c>
      <c r="F14" s="43" t="s">
        <v>255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F24"/>
  </sheetPr>
  <dimension ref="A1:E31"/>
  <sheetViews>
    <sheetView showGridLines="0" workbookViewId="0"/>
  </sheetViews>
  <sheetFormatPr defaultRowHeight="14.4" x14ac:dyDescent="0.3"/>
  <cols>
    <col min="1" max="1" width="8" customWidth="1"/>
    <col min="2" max="2" width="18" customWidth="1"/>
    <col min="3" max="3" width="28" customWidth="1"/>
    <col min="4" max="4" width="42" customWidth="1"/>
    <col min="5" max="5" width="12" customWidth="1"/>
  </cols>
  <sheetData>
    <row r="1" spans="1:5" ht="24" customHeight="1" x14ac:dyDescent="0.3">
      <c r="A1" s="78" t="s">
        <v>256</v>
      </c>
      <c r="B1" s="77"/>
      <c r="C1" s="77"/>
      <c r="D1" s="77"/>
      <c r="E1" s="77"/>
    </row>
    <row r="3" spans="1:5" ht="18" customHeight="1" x14ac:dyDescent="0.3">
      <c r="A3" s="62" t="s">
        <v>7</v>
      </c>
      <c r="B3" s="62" t="s">
        <v>8</v>
      </c>
      <c r="C3" s="62" t="s">
        <v>257</v>
      </c>
      <c r="D3" s="62" t="s">
        <v>258</v>
      </c>
      <c r="E3" s="62" t="s">
        <v>259</v>
      </c>
    </row>
    <row r="4" spans="1:5" ht="37.950000000000003" customHeight="1" x14ac:dyDescent="0.3">
      <c r="A4" s="63" t="s">
        <v>260</v>
      </c>
      <c r="B4" s="64" t="s">
        <v>261</v>
      </c>
      <c r="C4" s="65" t="s">
        <v>262</v>
      </c>
      <c r="D4" s="66" t="s">
        <v>263</v>
      </c>
      <c r="E4" s="67" t="s">
        <v>264</v>
      </c>
    </row>
    <row r="5" spans="1:5" ht="37.950000000000003" customHeight="1" x14ac:dyDescent="0.3">
      <c r="A5" s="68" t="s">
        <v>265</v>
      </c>
      <c r="B5" s="69" t="s">
        <v>261</v>
      </c>
      <c r="C5" s="70" t="s">
        <v>266</v>
      </c>
      <c r="D5" s="71" t="s">
        <v>267</v>
      </c>
      <c r="E5" s="67" t="s">
        <v>264</v>
      </c>
    </row>
    <row r="6" spans="1:5" ht="37.950000000000003" customHeight="1" x14ac:dyDescent="0.3">
      <c r="A6" s="63" t="s">
        <v>268</v>
      </c>
      <c r="B6" s="64" t="s">
        <v>261</v>
      </c>
      <c r="C6" s="65" t="s">
        <v>269</v>
      </c>
      <c r="D6" s="66" t="s">
        <v>270</v>
      </c>
      <c r="E6" s="67" t="s">
        <v>264</v>
      </c>
    </row>
    <row r="7" spans="1:5" ht="37.950000000000003" customHeight="1" x14ac:dyDescent="0.3">
      <c r="A7" s="68" t="s">
        <v>271</v>
      </c>
      <c r="B7" s="69" t="s">
        <v>261</v>
      </c>
      <c r="C7" s="70" t="s">
        <v>272</v>
      </c>
      <c r="D7" s="71" t="s">
        <v>273</v>
      </c>
      <c r="E7" s="67" t="s">
        <v>264</v>
      </c>
    </row>
    <row r="8" spans="1:5" ht="37.950000000000003" customHeight="1" x14ac:dyDescent="0.3">
      <c r="A8" s="63" t="s">
        <v>274</v>
      </c>
      <c r="B8" s="64" t="s">
        <v>261</v>
      </c>
      <c r="C8" s="65" t="s">
        <v>275</v>
      </c>
      <c r="D8" s="66" t="s">
        <v>276</v>
      </c>
      <c r="E8" s="67" t="s">
        <v>264</v>
      </c>
    </row>
    <row r="9" spans="1:5" ht="37.950000000000003" customHeight="1" x14ac:dyDescent="0.3">
      <c r="A9" s="68" t="s">
        <v>277</v>
      </c>
      <c r="B9" s="69" t="s">
        <v>261</v>
      </c>
      <c r="C9" s="70" t="s">
        <v>278</v>
      </c>
      <c r="D9" s="71" t="s">
        <v>279</v>
      </c>
      <c r="E9" s="67" t="s">
        <v>264</v>
      </c>
    </row>
    <row r="10" spans="1:5" ht="37.950000000000003" customHeight="1" x14ac:dyDescent="0.3">
      <c r="A10" s="63" t="s">
        <v>280</v>
      </c>
      <c r="B10" s="64" t="s">
        <v>281</v>
      </c>
      <c r="C10" s="65" t="s">
        <v>282</v>
      </c>
      <c r="D10" s="66" t="s">
        <v>283</v>
      </c>
      <c r="E10" s="67" t="s">
        <v>264</v>
      </c>
    </row>
    <row r="11" spans="1:5" ht="37.950000000000003" customHeight="1" x14ac:dyDescent="0.3">
      <c r="A11" s="68" t="s">
        <v>284</v>
      </c>
      <c r="B11" s="69" t="s">
        <v>281</v>
      </c>
      <c r="C11" s="70" t="s">
        <v>285</v>
      </c>
      <c r="D11" s="71" t="s">
        <v>286</v>
      </c>
      <c r="E11" s="72" t="s">
        <v>287</v>
      </c>
    </row>
    <row r="12" spans="1:5" ht="37.950000000000003" customHeight="1" x14ac:dyDescent="0.3">
      <c r="A12" s="63" t="s">
        <v>288</v>
      </c>
      <c r="B12" s="64" t="s">
        <v>281</v>
      </c>
      <c r="C12" s="65" t="s">
        <v>289</v>
      </c>
      <c r="D12" s="66" t="s">
        <v>290</v>
      </c>
      <c r="E12" s="67" t="s">
        <v>264</v>
      </c>
    </row>
    <row r="13" spans="1:5" ht="37.950000000000003" customHeight="1" x14ac:dyDescent="0.3">
      <c r="A13" s="68" t="s">
        <v>291</v>
      </c>
      <c r="B13" s="69" t="s">
        <v>281</v>
      </c>
      <c r="C13" s="70" t="s">
        <v>292</v>
      </c>
      <c r="D13" s="71" t="s">
        <v>293</v>
      </c>
      <c r="E13" s="67" t="s">
        <v>264</v>
      </c>
    </row>
    <row r="14" spans="1:5" ht="37.950000000000003" customHeight="1" x14ac:dyDescent="0.3">
      <c r="A14" s="63" t="s">
        <v>294</v>
      </c>
      <c r="B14" s="64" t="s">
        <v>281</v>
      </c>
      <c r="C14" s="65" t="s">
        <v>295</v>
      </c>
      <c r="D14" s="66" t="s">
        <v>296</v>
      </c>
      <c r="E14" s="67" t="s">
        <v>264</v>
      </c>
    </row>
    <row r="15" spans="1:5" ht="37.950000000000003" customHeight="1" x14ac:dyDescent="0.3">
      <c r="A15" s="68" t="s">
        <v>297</v>
      </c>
      <c r="B15" s="69" t="s">
        <v>281</v>
      </c>
      <c r="C15" s="70" t="s">
        <v>46</v>
      </c>
      <c r="D15" s="71" t="s">
        <v>298</v>
      </c>
      <c r="E15" s="67" t="s">
        <v>264</v>
      </c>
    </row>
    <row r="16" spans="1:5" ht="37.950000000000003" customHeight="1" x14ac:dyDescent="0.3">
      <c r="A16" s="63" t="s">
        <v>299</v>
      </c>
      <c r="B16" s="64" t="s">
        <v>300</v>
      </c>
      <c r="C16" s="65" t="s">
        <v>301</v>
      </c>
      <c r="D16" s="66" t="s">
        <v>302</v>
      </c>
      <c r="E16" s="67" t="s">
        <v>264</v>
      </c>
    </row>
    <row r="17" spans="1:5" ht="37.950000000000003" customHeight="1" x14ac:dyDescent="0.3">
      <c r="A17" s="68" t="s">
        <v>303</v>
      </c>
      <c r="B17" s="69" t="s">
        <v>300</v>
      </c>
      <c r="C17" s="70" t="s">
        <v>304</v>
      </c>
      <c r="D17" s="71" t="s">
        <v>305</v>
      </c>
      <c r="E17" s="67" t="s">
        <v>264</v>
      </c>
    </row>
    <row r="18" spans="1:5" ht="37.950000000000003" customHeight="1" x14ac:dyDescent="0.3">
      <c r="A18" s="63" t="s">
        <v>306</v>
      </c>
      <c r="B18" s="64" t="s">
        <v>300</v>
      </c>
      <c r="C18" s="65" t="s">
        <v>307</v>
      </c>
      <c r="D18" s="66" t="s">
        <v>308</v>
      </c>
      <c r="E18" s="67" t="s">
        <v>264</v>
      </c>
    </row>
    <row r="19" spans="1:5" ht="37.950000000000003" customHeight="1" x14ac:dyDescent="0.3">
      <c r="A19" s="68" t="s">
        <v>309</v>
      </c>
      <c r="B19" s="69" t="s">
        <v>300</v>
      </c>
      <c r="C19" s="70" t="s">
        <v>310</v>
      </c>
      <c r="D19" s="71" t="s">
        <v>311</v>
      </c>
      <c r="E19" s="67" t="s">
        <v>264</v>
      </c>
    </row>
    <row r="20" spans="1:5" ht="37.950000000000003" customHeight="1" x14ac:dyDescent="0.3">
      <c r="A20" s="63" t="s">
        <v>312</v>
      </c>
      <c r="B20" s="64" t="s">
        <v>300</v>
      </c>
      <c r="C20" s="65" t="s">
        <v>313</v>
      </c>
      <c r="D20" s="66" t="s">
        <v>314</v>
      </c>
      <c r="E20" s="67" t="s">
        <v>264</v>
      </c>
    </row>
    <row r="21" spans="1:5" ht="37.950000000000003" customHeight="1" x14ac:dyDescent="0.3">
      <c r="A21" s="68" t="s">
        <v>315</v>
      </c>
      <c r="B21" s="69" t="s">
        <v>300</v>
      </c>
      <c r="C21" s="70" t="s">
        <v>316</v>
      </c>
      <c r="D21" s="71" t="s">
        <v>317</v>
      </c>
      <c r="E21" s="67" t="s">
        <v>264</v>
      </c>
    </row>
    <row r="22" spans="1:5" ht="37.950000000000003" customHeight="1" x14ac:dyDescent="0.3">
      <c r="A22" s="63" t="s">
        <v>318</v>
      </c>
      <c r="B22" s="64" t="s">
        <v>319</v>
      </c>
      <c r="C22" s="65" t="s">
        <v>320</v>
      </c>
      <c r="D22" s="66" t="s">
        <v>321</v>
      </c>
      <c r="E22" s="67" t="s">
        <v>264</v>
      </c>
    </row>
    <row r="23" spans="1:5" ht="37.950000000000003" customHeight="1" x14ac:dyDescent="0.3">
      <c r="A23" s="68" t="s">
        <v>322</v>
      </c>
      <c r="B23" s="69" t="s">
        <v>319</v>
      </c>
      <c r="C23" s="70" t="s">
        <v>323</v>
      </c>
      <c r="D23" s="71" t="s">
        <v>324</v>
      </c>
      <c r="E23" s="67" t="s">
        <v>264</v>
      </c>
    </row>
    <row r="24" spans="1:5" ht="37.950000000000003" customHeight="1" x14ac:dyDescent="0.3">
      <c r="A24" s="63" t="s">
        <v>325</v>
      </c>
      <c r="B24" s="64" t="s">
        <v>319</v>
      </c>
      <c r="C24" s="65" t="s">
        <v>326</v>
      </c>
      <c r="D24" s="66" t="s">
        <v>327</v>
      </c>
      <c r="E24" s="67" t="s">
        <v>264</v>
      </c>
    </row>
    <row r="25" spans="1:5" ht="37.950000000000003" customHeight="1" x14ac:dyDescent="0.3">
      <c r="A25" s="68" t="s">
        <v>328</v>
      </c>
      <c r="B25" s="69" t="s">
        <v>319</v>
      </c>
      <c r="C25" s="70" t="s">
        <v>329</v>
      </c>
      <c r="D25" s="71" t="s">
        <v>330</v>
      </c>
      <c r="E25" s="67" t="s">
        <v>264</v>
      </c>
    </row>
    <row r="26" spans="1:5" ht="37.950000000000003" customHeight="1" x14ac:dyDescent="0.3">
      <c r="A26" s="63" t="s">
        <v>331</v>
      </c>
      <c r="B26" s="64" t="s">
        <v>319</v>
      </c>
      <c r="C26" s="65" t="s">
        <v>332</v>
      </c>
      <c r="D26" s="66" t="s">
        <v>333</v>
      </c>
      <c r="E26" s="67" t="s">
        <v>264</v>
      </c>
    </row>
    <row r="27" spans="1:5" ht="37.950000000000003" customHeight="1" x14ac:dyDescent="0.3">
      <c r="A27" s="68" t="s">
        <v>334</v>
      </c>
      <c r="B27" s="69" t="s">
        <v>319</v>
      </c>
      <c r="C27" s="70" t="s">
        <v>335</v>
      </c>
      <c r="D27" s="71" t="s">
        <v>336</v>
      </c>
      <c r="E27" s="67" t="s">
        <v>264</v>
      </c>
    </row>
    <row r="28" spans="1:5" ht="37.950000000000003" customHeight="1" x14ac:dyDescent="0.3">
      <c r="A28" s="63" t="s">
        <v>337</v>
      </c>
      <c r="B28" s="64" t="s">
        <v>319</v>
      </c>
      <c r="C28" s="65" t="s">
        <v>338</v>
      </c>
      <c r="D28" s="66" t="s">
        <v>339</v>
      </c>
      <c r="E28" s="72" t="s">
        <v>287</v>
      </c>
    </row>
    <row r="29" spans="1:5" ht="37.950000000000003" customHeight="1" x14ac:dyDescent="0.3">
      <c r="A29" s="68" t="s">
        <v>340</v>
      </c>
      <c r="B29" s="69" t="s">
        <v>184</v>
      </c>
      <c r="C29" s="70" t="s">
        <v>341</v>
      </c>
      <c r="D29" s="71" t="s">
        <v>342</v>
      </c>
      <c r="E29" s="67" t="s">
        <v>264</v>
      </c>
    </row>
    <row r="30" spans="1:5" ht="37.950000000000003" customHeight="1" x14ac:dyDescent="0.3">
      <c r="A30" s="63" t="s">
        <v>343</v>
      </c>
      <c r="B30" s="64" t="s">
        <v>184</v>
      </c>
      <c r="C30" s="65" t="s">
        <v>344</v>
      </c>
      <c r="D30" s="66" t="s">
        <v>345</v>
      </c>
      <c r="E30" s="67" t="s">
        <v>264</v>
      </c>
    </row>
    <row r="31" spans="1:5" ht="37.950000000000003" customHeight="1" x14ac:dyDescent="0.3">
      <c r="A31" s="68" t="s">
        <v>346</v>
      </c>
      <c r="B31" s="69" t="s">
        <v>184</v>
      </c>
      <c r="C31" s="70" t="s">
        <v>347</v>
      </c>
      <c r="D31" s="71" t="s">
        <v>348</v>
      </c>
      <c r="E31" s="67" t="s">
        <v>264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 Checklist</vt:lpstr>
      <vt:lpstr>Summary</vt:lpstr>
      <vt:lpstr>VAR Reference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2026-04-26T18:21:17Z</dcterms:created>
  <dcterms:modified xsi:type="dcterms:W3CDTF">2026-04-27T08:54:32Z</dcterms:modified>
</cp:coreProperties>
</file>